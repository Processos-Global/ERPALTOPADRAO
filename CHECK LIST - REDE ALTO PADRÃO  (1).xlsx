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lobal\Downloads\"/>
    </mc:Choice>
  </mc:AlternateContent>
  <xr:revisionPtr revIDLastSave="0" documentId="13_ncr:1_{A5E5EC18-32B2-4BDF-855E-A693BFD7D5BA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10-05-03" sheetId="1" r:id="rId1"/>
    <sheet name="11-07-21" sheetId="2" r:id="rId2"/>
    <sheet name="10-07-04" sheetId="4" r:id="rId3"/>
    <sheet name="05-05-09" sheetId="5" r:id="rId4"/>
    <sheet name="10-06-17" sheetId="6" r:id="rId5"/>
  </sheets>
  <definedNames>
    <definedName name="_xlnm._FilterDatabase" localSheetId="3" hidden="1">'05-05-09'!$B$1:$F$33</definedName>
    <definedName name="_xlnm._FilterDatabase" localSheetId="0" hidden="1">'10-05-03'!$B$1:$F$35</definedName>
    <definedName name="_xlnm._FilterDatabase" localSheetId="4" hidden="1">'10-06-17'!$B$1:$F$34</definedName>
    <definedName name="_xlnm._FilterDatabase" localSheetId="2" hidden="1">'10-07-04'!$B$1:$F$34</definedName>
    <definedName name="_xlnm._FilterDatabase" localSheetId="1" hidden="1">'11-07-21'!$B$1:$F$40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2" l="1"/>
</calcChain>
</file>

<file path=xl/sharedStrings.xml><?xml version="1.0" encoding="utf-8"?>
<sst xmlns="http://schemas.openxmlformats.org/spreadsheetml/2006/main" count="458" uniqueCount="135">
  <si>
    <t>ITEM</t>
  </si>
  <si>
    <t>STATUS</t>
  </si>
  <si>
    <t>FORNECEDOR</t>
  </si>
  <si>
    <t>VALOR (R$)</t>
  </si>
  <si>
    <t>OBSERVAÇÃO</t>
  </si>
  <si>
    <t>Acabamentos Elétrica</t>
  </si>
  <si>
    <t>Adega</t>
  </si>
  <si>
    <t>Aquecimento Piscina</t>
  </si>
  <si>
    <t>Box e espelhos</t>
  </si>
  <si>
    <t>Eletrodomésticos</t>
  </si>
  <si>
    <t>Elevador</t>
  </si>
  <si>
    <t>Esquadrias</t>
  </si>
  <si>
    <t>Forro de madeira e piso</t>
  </si>
  <si>
    <t>Hélice continua</t>
  </si>
  <si>
    <t>Iluminação</t>
  </si>
  <si>
    <t>Irrigação</t>
  </si>
  <si>
    <t>Louças e Metais</t>
  </si>
  <si>
    <t>Mobília</t>
  </si>
  <si>
    <t>Obra- Empreita- BV Construcoes</t>
  </si>
  <si>
    <t>Paisagismo</t>
  </si>
  <si>
    <t>Pedras</t>
  </si>
  <si>
    <t>Poço</t>
  </si>
  <si>
    <t>Porcelanato</t>
  </si>
  <si>
    <t>Portas</t>
  </si>
  <si>
    <t>Projeto Instalações</t>
  </si>
  <si>
    <t>Protensão</t>
  </si>
  <si>
    <t xml:space="preserve">Automação </t>
  </si>
  <si>
    <t>Ar Condicionado INFRA</t>
  </si>
  <si>
    <t>Ar Condicionado - Equipamento</t>
  </si>
  <si>
    <t>Fechado</t>
  </si>
  <si>
    <t>OBJETIVA</t>
  </si>
  <si>
    <t>KL MARCENARIA ESPECIALIZADA</t>
  </si>
  <si>
    <t xml:space="preserve">SOL E LAZER </t>
  </si>
  <si>
    <t>BLUE ICE ADEGAS E REFRIGERAÇÃO</t>
  </si>
  <si>
    <t>Em cotação</t>
  </si>
  <si>
    <t>ELIELTON</t>
  </si>
  <si>
    <t>AMPLA ELETROS</t>
  </si>
  <si>
    <t>ATI</t>
  </si>
  <si>
    <t>GEOSTAK</t>
  </si>
  <si>
    <t>LIGHT</t>
  </si>
  <si>
    <t>CONCEITO</t>
  </si>
  <si>
    <t>RUFINO</t>
  </si>
  <si>
    <t>LEO</t>
  </si>
  <si>
    <t>AGUIA</t>
  </si>
  <si>
    <t>FLORENCE</t>
  </si>
  <si>
    <t>Marcenaria da casa</t>
  </si>
  <si>
    <t>Marcenaria do banheiro</t>
  </si>
  <si>
    <t>QUADRA</t>
  </si>
  <si>
    <t>BV CONSTRUÇÕES</t>
  </si>
  <si>
    <t>FLORICULTURA ATACAMBI</t>
  </si>
  <si>
    <t>ALVORADA</t>
  </si>
  <si>
    <t>H20 POÇO</t>
  </si>
  <si>
    <t>VITRI</t>
  </si>
  <si>
    <t>DENISE ZUBA</t>
  </si>
  <si>
    <t>CHENDES</t>
  </si>
  <si>
    <t>BINV ENGENHARIA</t>
  </si>
  <si>
    <t>DEPIERI</t>
  </si>
  <si>
    <t>ARQUIVO</t>
  </si>
  <si>
    <t>LORENZINI</t>
  </si>
  <si>
    <t>Em negociação</t>
  </si>
  <si>
    <t>CFTV- Rede e alarme</t>
  </si>
  <si>
    <t>Academia</t>
  </si>
  <si>
    <t>Pendente</t>
  </si>
  <si>
    <t>Fotovoltáica</t>
  </si>
  <si>
    <t>Projeto de Fundações</t>
  </si>
  <si>
    <t xml:space="preserve">Marcenaria </t>
  </si>
  <si>
    <t>Empreita MO</t>
  </si>
  <si>
    <t>Objetiva</t>
  </si>
  <si>
    <t xml:space="preserve">Falta mapa de cotação </t>
  </si>
  <si>
    <t>BLUE ICE (WILSON)</t>
  </si>
  <si>
    <t>FRIGELAR</t>
  </si>
  <si>
    <t>VANSATI</t>
  </si>
  <si>
    <t>Banheira</t>
  </si>
  <si>
    <t>SPA VERSATI</t>
  </si>
  <si>
    <t xml:space="preserve">PLANALTO VIDROS </t>
  </si>
  <si>
    <t>AMPLA</t>
  </si>
  <si>
    <t xml:space="preserve">LIGHT DESIGNE </t>
  </si>
  <si>
    <t>ALUTEC</t>
  </si>
  <si>
    <t>SÃO GERALDO</t>
  </si>
  <si>
    <t>KL MARCENARIA ( VITOR)</t>
  </si>
  <si>
    <t>Marmoraria</t>
  </si>
  <si>
    <t>Mobilia</t>
  </si>
  <si>
    <t>Marcenaria  decorativa (Banhos, sala e circulação )</t>
  </si>
  <si>
    <t>Marcenaria   (Closts, Hall, Area de serviço, Cozinha e Gourmet)</t>
  </si>
  <si>
    <t>ORNARE</t>
  </si>
  <si>
    <t xml:space="preserve">QUADRA </t>
  </si>
  <si>
    <t>OBRATEC (ALEX)</t>
  </si>
  <si>
    <t xml:space="preserve">NATURAS PEDRAS </t>
  </si>
  <si>
    <t>Porcelanato ( PISCINA E LAVANDERIA)</t>
  </si>
  <si>
    <t>FLORICULTURA  (JOISON)</t>
  </si>
  <si>
    <t xml:space="preserve">GCR- METALÚRGICA ROSSI </t>
  </si>
  <si>
    <t>ARMINDO</t>
  </si>
  <si>
    <t>Portão</t>
  </si>
  <si>
    <t>DUE ARQUITETURA</t>
  </si>
  <si>
    <t>Projeto Estrutural</t>
  </si>
  <si>
    <t>BUENO</t>
  </si>
  <si>
    <t>Z5 BIM</t>
  </si>
  <si>
    <t>Projeto Estrutural e fundações</t>
  </si>
  <si>
    <t>Quadros elétricos</t>
  </si>
  <si>
    <t>SOLTEL</t>
  </si>
  <si>
    <t>Revestimento ripado- concreto</t>
  </si>
  <si>
    <t>CIMENTARE</t>
  </si>
  <si>
    <t>Serralheria</t>
  </si>
  <si>
    <t xml:space="preserve">Sondagem </t>
  </si>
  <si>
    <t>HR FUNDAÇÕES</t>
  </si>
  <si>
    <t>Textura</t>
  </si>
  <si>
    <t>INVENTTY</t>
  </si>
  <si>
    <t>Topografia</t>
  </si>
  <si>
    <t xml:space="preserve">MDT TOPOGRAFIA </t>
  </si>
  <si>
    <t>Contenção e muro de Arrimo</t>
  </si>
  <si>
    <t>REAL CLIMA</t>
  </si>
  <si>
    <t>BLUE ICE</t>
  </si>
  <si>
    <t>EMPREITA MO</t>
  </si>
  <si>
    <t xml:space="preserve">BV CONSTRUÇÕES </t>
  </si>
  <si>
    <t>Fundações</t>
  </si>
  <si>
    <t>LIGHT DESIGN</t>
  </si>
  <si>
    <t xml:space="preserve">Projeto Arquitetura </t>
  </si>
  <si>
    <t>BINV</t>
  </si>
  <si>
    <t>Quadros</t>
  </si>
  <si>
    <t xml:space="preserve">Projeto Paisagismo </t>
  </si>
  <si>
    <t>D&amp;S TECNOLOGIA</t>
  </si>
  <si>
    <t>MS PROTENSÃO</t>
  </si>
  <si>
    <t xml:space="preserve">Madeira- forro e piso </t>
  </si>
  <si>
    <t>Aprovação e Habite -se</t>
  </si>
  <si>
    <t xml:space="preserve">SITUARE </t>
  </si>
  <si>
    <t>ROYAL POÇOS</t>
  </si>
  <si>
    <t>Projeto Estrutural / Fundações</t>
  </si>
  <si>
    <t>Fundações- Hélice Continua</t>
  </si>
  <si>
    <t>Contensão</t>
  </si>
  <si>
    <t>BV INCORPORAÇÕES</t>
  </si>
  <si>
    <t>SITUARE</t>
  </si>
  <si>
    <t>Projeto Paisagismo</t>
  </si>
  <si>
    <t>Vidros e espelhos</t>
  </si>
  <si>
    <t>DEPERI</t>
  </si>
  <si>
    <t>Projeto Arquitetura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</si>
</sst>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\R\$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0"/>
      <color rgb="FF43434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164" fontId="0" fillId="0" borderId="1" xfId="0" applyNumberFormat="1" applyFill="1" applyBorder="1" applyAlignment="1">
      <alignment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8" fontId="3" fillId="0" borderId="0" xfId="0" applyNumberFormat="1" applyFont="1"/>
    <xf numFmtId="44" fontId="0" fillId="0" borderId="0" xfId="1" applyFont="1"/>
    <xf numFmtId="164" fontId="0" fillId="0" borderId="0" xfId="0" applyNumberForma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top" wrapText="1"/>
    </xf>
    <xf numFmtId="164" fontId="0" fillId="0" borderId="1" xfId="0" applyNumberForma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0" fontId="0" fillId="0" borderId="2" xfId="0" applyFill="1" applyBorder="1" applyAlignment="1">
      <alignment horizontal="left" vertical="center" wrapText="1"/>
    </xf>
    <xf numFmtId="44" fontId="0" fillId="0" borderId="0" xfId="1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"/>
  <sheetViews>
    <sheetView workbookViewId="0">
      <pane ySplit="1" topLeftCell="A2" activePane="bottomLeft" state="frozen"/>
      <selection pane="bottomLeft" activeCell="I23" sqref="I23"/>
    </sheetView>
  </sheetViews>
  <sheetFormatPr defaultRowHeight="14.4" x14ac:dyDescent="0.3"/>
  <cols>
    <col min="2" max="2" width="38" customWidth="1"/>
    <col min="3" max="3" width="20" customWidth="1"/>
    <col min="4" max="4" width="32" customWidth="1"/>
    <col min="5" max="5" width="18" customWidth="1"/>
    <col min="6" max="6" width="55" customWidth="1"/>
  </cols>
  <sheetData>
    <row r="1" spans="2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s="2" t="s">
        <v>61</v>
      </c>
      <c r="C2" s="2" t="s">
        <v>62</v>
      </c>
      <c r="D2" s="2"/>
      <c r="E2" s="3"/>
      <c r="F2" s="2"/>
    </row>
    <row r="3" spans="2:6" x14ac:dyDescent="0.3">
      <c r="B3" s="2" t="s">
        <v>5</v>
      </c>
      <c r="C3" s="2" t="s">
        <v>29</v>
      </c>
      <c r="D3" s="2" t="s">
        <v>30</v>
      </c>
      <c r="E3" s="3">
        <v>23180.78</v>
      </c>
      <c r="F3" s="2"/>
    </row>
    <row r="4" spans="2:6" x14ac:dyDescent="0.3">
      <c r="B4" s="2" t="s">
        <v>6</v>
      </c>
      <c r="C4" s="2" t="s">
        <v>29</v>
      </c>
      <c r="D4" s="2" t="s">
        <v>31</v>
      </c>
      <c r="E4" s="3">
        <v>67776</v>
      </c>
      <c r="F4" s="2"/>
    </row>
    <row r="5" spans="2:6" x14ac:dyDescent="0.3">
      <c r="B5" s="2" t="s">
        <v>7</v>
      </c>
      <c r="C5" s="2" t="s">
        <v>29</v>
      </c>
      <c r="D5" s="2" t="s">
        <v>32</v>
      </c>
      <c r="E5" s="3">
        <v>44380</v>
      </c>
      <c r="F5" s="2"/>
    </row>
    <row r="6" spans="2:6" x14ac:dyDescent="0.3">
      <c r="B6" s="2" t="s">
        <v>27</v>
      </c>
      <c r="C6" s="2" t="s">
        <v>29</v>
      </c>
      <c r="D6" s="2" t="s">
        <v>33</v>
      </c>
      <c r="E6" s="3">
        <v>41300</v>
      </c>
      <c r="F6" s="2"/>
    </row>
    <row r="7" spans="2:6" x14ac:dyDescent="0.3">
      <c r="B7" s="2" t="s">
        <v>28</v>
      </c>
      <c r="C7" s="2" t="s">
        <v>59</v>
      </c>
      <c r="D7" s="2"/>
      <c r="E7" s="3"/>
      <c r="F7" s="2"/>
    </row>
    <row r="8" spans="2:6" x14ac:dyDescent="0.3">
      <c r="B8" s="2" t="s">
        <v>26</v>
      </c>
      <c r="C8" s="2" t="s">
        <v>34</v>
      </c>
      <c r="D8" s="2"/>
      <c r="E8" s="3"/>
      <c r="F8" s="2"/>
    </row>
    <row r="9" spans="2:6" x14ac:dyDescent="0.3">
      <c r="B9" s="2" t="s">
        <v>8</v>
      </c>
      <c r="C9" s="2" t="s">
        <v>29</v>
      </c>
      <c r="D9" s="2" t="s">
        <v>35</v>
      </c>
      <c r="E9" s="3">
        <v>39000</v>
      </c>
      <c r="F9" s="2"/>
    </row>
    <row r="10" spans="2:6" x14ac:dyDescent="0.3">
      <c r="B10" s="2" t="s">
        <v>60</v>
      </c>
      <c r="C10" s="2" t="s">
        <v>34</v>
      </c>
      <c r="D10" s="2"/>
      <c r="E10" s="3"/>
      <c r="F10" s="2"/>
    </row>
    <row r="11" spans="2:6" x14ac:dyDescent="0.3">
      <c r="B11" s="2" t="s">
        <v>9</v>
      </c>
      <c r="C11" s="2" t="s">
        <v>29</v>
      </c>
      <c r="D11" s="2" t="s">
        <v>36</v>
      </c>
      <c r="E11" s="3">
        <v>100000</v>
      </c>
      <c r="F11" s="2"/>
    </row>
    <row r="12" spans="2:6" x14ac:dyDescent="0.3">
      <c r="B12" s="2" t="s">
        <v>10</v>
      </c>
      <c r="C12" s="2" t="s">
        <v>29</v>
      </c>
      <c r="D12" s="2" t="s">
        <v>37</v>
      </c>
      <c r="E12" s="3">
        <v>93500</v>
      </c>
      <c r="F12" s="2"/>
    </row>
    <row r="13" spans="2:6" x14ac:dyDescent="0.3">
      <c r="B13" s="2" t="s">
        <v>11</v>
      </c>
      <c r="C13" s="2" t="s">
        <v>29</v>
      </c>
      <c r="D13" s="2" t="s">
        <v>40</v>
      </c>
      <c r="E13" s="3">
        <v>510000</v>
      </c>
      <c r="F13" s="2"/>
    </row>
    <row r="14" spans="2:6" x14ac:dyDescent="0.3">
      <c r="B14" s="2" t="s">
        <v>63</v>
      </c>
      <c r="C14" s="2" t="s">
        <v>62</v>
      </c>
      <c r="D14" s="5"/>
      <c r="E14" s="3"/>
      <c r="F14" s="5"/>
    </row>
    <row r="15" spans="2:6" x14ac:dyDescent="0.3">
      <c r="B15" s="2" t="s">
        <v>12</v>
      </c>
      <c r="C15" s="2" t="s">
        <v>29</v>
      </c>
      <c r="D15" s="4" t="s">
        <v>41</v>
      </c>
      <c r="E15" s="3">
        <v>350000</v>
      </c>
    </row>
    <row r="16" spans="2:6" x14ac:dyDescent="0.3">
      <c r="B16" s="2" t="s">
        <v>13</v>
      </c>
      <c r="C16" s="2" t="s">
        <v>29</v>
      </c>
      <c r="D16" s="4" t="s">
        <v>38</v>
      </c>
      <c r="E16" s="3">
        <v>65000</v>
      </c>
      <c r="F16" s="4"/>
    </row>
    <row r="17" spans="2:6" x14ac:dyDescent="0.3">
      <c r="B17" s="2" t="s">
        <v>14</v>
      </c>
      <c r="C17" s="2" t="s">
        <v>29</v>
      </c>
      <c r="D17" s="4" t="s">
        <v>39</v>
      </c>
      <c r="E17" s="3">
        <v>135002</v>
      </c>
      <c r="F17" s="2"/>
    </row>
    <row r="18" spans="2:6" x14ac:dyDescent="0.3">
      <c r="B18" s="2" t="s">
        <v>15</v>
      </c>
      <c r="C18" s="2" t="s">
        <v>29</v>
      </c>
      <c r="D18" s="4" t="s">
        <v>42</v>
      </c>
      <c r="E18" s="3">
        <v>15000</v>
      </c>
      <c r="F18" s="2"/>
    </row>
    <row r="19" spans="2:6" x14ac:dyDescent="0.3">
      <c r="B19" s="2" t="s">
        <v>16</v>
      </c>
      <c r="C19" s="2" t="s">
        <v>29</v>
      </c>
      <c r="D19" s="2" t="s">
        <v>43</v>
      </c>
      <c r="E19" s="3">
        <v>12400</v>
      </c>
      <c r="F19" s="2"/>
    </row>
    <row r="20" spans="2:6" x14ac:dyDescent="0.3">
      <c r="B20" s="2" t="s">
        <v>45</v>
      </c>
      <c r="C20" s="2" t="s">
        <v>29</v>
      </c>
      <c r="D20" s="2" t="s">
        <v>44</v>
      </c>
      <c r="E20" s="3">
        <v>485000</v>
      </c>
      <c r="F20" s="2"/>
    </row>
    <row r="21" spans="2:6" x14ac:dyDescent="0.3">
      <c r="B21" s="2" t="s">
        <v>46</v>
      </c>
      <c r="C21" s="2" t="s">
        <v>29</v>
      </c>
      <c r="D21" s="2" t="s">
        <v>31</v>
      </c>
      <c r="E21" s="3">
        <v>260000</v>
      </c>
      <c r="F21" s="2"/>
    </row>
    <row r="22" spans="2:6" x14ac:dyDescent="0.3">
      <c r="B22" s="25" t="s">
        <v>17</v>
      </c>
      <c r="C22" s="6" t="s">
        <v>29</v>
      </c>
      <c r="D22" s="6" t="s">
        <v>47</v>
      </c>
      <c r="E22" s="7">
        <v>310000</v>
      </c>
      <c r="F22" s="6"/>
    </row>
    <row r="23" spans="2:6" x14ac:dyDescent="0.3">
      <c r="B23" s="26"/>
      <c r="C23" s="6" t="s">
        <v>29</v>
      </c>
      <c r="D23" s="6" t="s">
        <v>57</v>
      </c>
      <c r="E23" s="7">
        <v>245000</v>
      </c>
      <c r="F23" s="6"/>
    </row>
    <row r="24" spans="2:6" x14ac:dyDescent="0.3">
      <c r="B24" s="2" t="s">
        <v>18</v>
      </c>
      <c r="C24" s="2" t="s">
        <v>29</v>
      </c>
      <c r="D24" s="2" t="s">
        <v>48</v>
      </c>
      <c r="E24" s="3">
        <v>1850000</v>
      </c>
      <c r="F24" s="2"/>
    </row>
    <row r="25" spans="2:6" x14ac:dyDescent="0.3">
      <c r="B25" s="2" t="s">
        <v>19</v>
      </c>
      <c r="C25" s="2" t="s">
        <v>29</v>
      </c>
      <c r="D25" s="2" t="s">
        <v>49</v>
      </c>
      <c r="E25" s="3">
        <v>215000</v>
      </c>
      <c r="F25" s="2"/>
    </row>
    <row r="26" spans="2:6" x14ac:dyDescent="0.3">
      <c r="B26" s="2" t="s">
        <v>20</v>
      </c>
      <c r="C26" s="2" t="s">
        <v>29</v>
      </c>
      <c r="D26" s="2" t="s">
        <v>50</v>
      </c>
      <c r="E26" s="3">
        <v>850000</v>
      </c>
      <c r="F26" s="2"/>
    </row>
    <row r="27" spans="2:6" x14ac:dyDescent="0.3">
      <c r="B27" s="2" t="s">
        <v>21</v>
      </c>
      <c r="C27" s="2" t="s">
        <v>29</v>
      </c>
      <c r="D27" s="2" t="s">
        <v>51</v>
      </c>
      <c r="E27" s="3">
        <v>12000</v>
      </c>
      <c r="F27" s="2"/>
    </row>
    <row r="28" spans="2:6" x14ac:dyDescent="0.3">
      <c r="B28" s="2" t="s">
        <v>22</v>
      </c>
      <c r="C28" s="2" t="s">
        <v>29</v>
      </c>
      <c r="D28" s="2" t="s">
        <v>78</v>
      </c>
      <c r="E28" s="3">
        <v>20926.02</v>
      </c>
      <c r="F28" s="2"/>
    </row>
    <row r="29" spans="2:6" x14ac:dyDescent="0.3">
      <c r="B29" s="2" t="s">
        <v>23</v>
      </c>
      <c r="C29" s="2" t="s">
        <v>29</v>
      </c>
      <c r="D29" s="2" t="s">
        <v>52</v>
      </c>
      <c r="E29" s="3">
        <v>165000</v>
      </c>
      <c r="F29" s="2"/>
    </row>
    <row r="30" spans="2:6" x14ac:dyDescent="0.3">
      <c r="B30" s="2" t="s">
        <v>116</v>
      </c>
      <c r="C30" s="2" t="s">
        <v>29</v>
      </c>
      <c r="D30" s="2" t="s">
        <v>53</v>
      </c>
      <c r="E30" s="3">
        <v>120000</v>
      </c>
      <c r="F30" s="2"/>
    </row>
    <row r="31" spans="2:6" x14ac:dyDescent="0.3">
      <c r="B31" s="2" t="s">
        <v>94</v>
      </c>
      <c r="C31" s="2" t="s">
        <v>29</v>
      </c>
      <c r="D31" s="2" t="s">
        <v>54</v>
      </c>
      <c r="E31" s="3">
        <v>20000</v>
      </c>
      <c r="F31" s="2"/>
    </row>
    <row r="32" spans="2:6" x14ac:dyDescent="0.3">
      <c r="B32" s="2" t="s">
        <v>64</v>
      </c>
      <c r="C32" s="2" t="s">
        <v>62</v>
      </c>
      <c r="D32" s="2"/>
      <c r="E32" s="3"/>
      <c r="F32" s="2"/>
    </row>
    <row r="33" spans="2:6" x14ac:dyDescent="0.3">
      <c r="B33" s="2" t="s">
        <v>24</v>
      </c>
      <c r="C33" s="2" t="s">
        <v>29</v>
      </c>
      <c r="D33" s="2" t="s">
        <v>55</v>
      </c>
      <c r="E33" s="3">
        <v>14000</v>
      </c>
      <c r="F33" s="2"/>
    </row>
    <row r="34" spans="2:6" x14ac:dyDescent="0.3">
      <c r="B34" s="2" t="s">
        <v>131</v>
      </c>
      <c r="C34" s="2" t="s">
        <v>29</v>
      </c>
      <c r="D34" s="2" t="s">
        <v>56</v>
      </c>
      <c r="E34" s="3">
        <v>14000</v>
      </c>
      <c r="F34" s="2"/>
    </row>
    <row r="35" spans="2:6" x14ac:dyDescent="0.3">
      <c r="B35" s="2" t="s">
        <v>25</v>
      </c>
      <c r="C35" s="2" t="s">
        <v>29</v>
      </c>
      <c r="D35" s="2" t="s">
        <v>58</v>
      </c>
      <c r="E35" s="3">
        <v>48500</v>
      </c>
      <c r="F35" s="2"/>
    </row>
  </sheetData>
  <autoFilter ref="B1:F35" xr:uid="{00000000-0009-0000-0000-000000000000}"/>
  <mergeCells count="1">
    <mergeCell ref="B22:B23"/>
  </mergeCells>
  <dataValidations count="1">
    <dataValidation type="list" allowBlank="1" sqref="C2:C35" xr:uid="{00000000-0002-0000-0000-000000000000}">
      <formula1>"Pendente,Em cotação,Em negociação,Fechado,Concluído,Cancelado"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37D5-F007-4BC6-8B3D-0907D875AE5E}">
  <dimension ref="B1:F41"/>
  <sheetViews>
    <sheetView workbookViewId="0">
      <pane ySplit="1" topLeftCell="A20" activePane="bottomLeft" state="frozen"/>
      <selection pane="bottomLeft" activeCell="H30" sqref="H30"/>
    </sheetView>
  </sheetViews>
  <sheetFormatPr defaultRowHeight="14.4" x14ac:dyDescent="0.3"/>
  <cols>
    <col min="2" max="2" width="38" customWidth="1"/>
    <col min="3" max="3" width="20" customWidth="1"/>
    <col min="4" max="4" width="32" customWidth="1"/>
    <col min="5" max="5" width="18" customWidth="1"/>
    <col min="6" max="6" width="55" customWidth="1"/>
  </cols>
  <sheetData>
    <row r="1" spans="2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s="2" t="s">
        <v>5</v>
      </c>
      <c r="C2" s="2" t="s">
        <v>29</v>
      </c>
      <c r="D2" s="2" t="s">
        <v>67</v>
      </c>
      <c r="E2" s="3">
        <v>15037.84</v>
      </c>
      <c r="F2" s="2"/>
    </row>
    <row r="3" spans="2:6" x14ac:dyDescent="0.3">
      <c r="B3" s="2" t="s">
        <v>6</v>
      </c>
      <c r="C3" s="2" t="s">
        <v>29</v>
      </c>
      <c r="D3" s="2" t="s">
        <v>110</v>
      </c>
      <c r="E3" s="3">
        <v>12800</v>
      </c>
      <c r="F3" s="2"/>
    </row>
    <row r="4" spans="2:6" x14ac:dyDescent="0.3">
      <c r="B4" s="2" t="s">
        <v>7</v>
      </c>
      <c r="C4" s="2" t="s">
        <v>29</v>
      </c>
      <c r="D4" s="2" t="s">
        <v>32</v>
      </c>
      <c r="E4" s="3">
        <v>27650</v>
      </c>
      <c r="F4" s="2"/>
    </row>
    <row r="5" spans="2:6" x14ac:dyDescent="0.3">
      <c r="B5" s="2" t="s">
        <v>28</v>
      </c>
      <c r="C5" s="2" t="s">
        <v>29</v>
      </c>
      <c r="D5" s="2" t="s">
        <v>70</v>
      </c>
      <c r="E5" s="3">
        <v>21260</v>
      </c>
      <c r="F5" s="2"/>
    </row>
    <row r="6" spans="2:6" x14ac:dyDescent="0.3">
      <c r="B6" s="2" t="s">
        <v>27</v>
      </c>
      <c r="C6" s="2" t="s">
        <v>29</v>
      </c>
      <c r="D6" s="2" t="s">
        <v>69</v>
      </c>
      <c r="E6" s="3">
        <v>23740</v>
      </c>
      <c r="F6" s="2"/>
    </row>
    <row r="7" spans="2:6" x14ac:dyDescent="0.3">
      <c r="B7" s="2" t="s">
        <v>26</v>
      </c>
      <c r="C7" s="2" t="s">
        <v>29</v>
      </c>
      <c r="D7" s="2" t="s">
        <v>71</v>
      </c>
      <c r="E7" s="3">
        <v>108217.60000000001</v>
      </c>
      <c r="F7" s="2"/>
    </row>
    <row r="8" spans="2:6" x14ac:dyDescent="0.3">
      <c r="B8" s="2" t="s">
        <v>72</v>
      </c>
      <c r="C8" s="2" t="s">
        <v>29</v>
      </c>
      <c r="D8" s="2" t="s">
        <v>73</v>
      </c>
      <c r="E8" s="3">
        <v>10000</v>
      </c>
      <c r="F8" s="2"/>
    </row>
    <row r="9" spans="2:6" x14ac:dyDescent="0.3">
      <c r="B9" s="2" t="s">
        <v>8</v>
      </c>
      <c r="C9" s="2" t="s">
        <v>29</v>
      </c>
      <c r="D9" s="2" t="s">
        <v>74</v>
      </c>
      <c r="E9" s="3">
        <v>16500</v>
      </c>
      <c r="F9" s="2"/>
    </row>
    <row r="10" spans="2:6" x14ac:dyDescent="0.3">
      <c r="B10" s="2" t="s">
        <v>60</v>
      </c>
      <c r="C10" s="2" t="s">
        <v>62</v>
      </c>
      <c r="D10" s="2"/>
      <c r="E10" s="3"/>
      <c r="F10" s="4"/>
    </row>
    <row r="11" spans="2:6" x14ac:dyDescent="0.3">
      <c r="B11" s="2" t="s">
        <v>109</v>
      </c>
      <c r="C11" s="2" t="s">
        <v>34</v>
      </c>
      <c r="D11" s="2" t="s">
        <v>86</v>
      </c>
      <c r="E11" s="3">
        <v>1408259.13</v>
      </c>
      <c r="F11" s="2"/>
    </row>
    <row r="12" spans="2:6" x14ac:dyDescent="0.3">
      <c r="B12" s="2" t="s">
        <v>9</v>
      </c>
      <c r="C12" s="2" t="s">
        <v>29</v>
      </c>
      <c r="D12" s="2" t="s">
        <v>75</v>
      </c>
      <c r="E12" s="3">
        <v>44000</v>
      </c>
      <c r="F12" s="2"/>
    </row>
    <row r="13" spans="2:6" x14ac:dyDescent="0.3">
      <c r="B13" s="2" t="s">
        <v>66</v>
      </c>
      <c r="C13" s="2" t="s">
        <v>29</v>
      </c>
      <c r="D13" s="2" t="s">
        <v>86</v>
      </c>
      <c r="E13" s="10">
        <v>1240000</v>
      </c>
      <c r="F13" s="2"/>
    </row>
    <row r="14" spans="2:6" x14ac:dyDescent="0.3">
      <c r="B14" s="2" t="s">
        <v>11</v>
      </c>
      <c r="C14" s="2" t="s">
        <v>29</v>
      </c>
      <c r="D14" s="2" t="s">
        <v>77</v>
      </c>
      <c r="E14" s="3">
        <v>240000</v>
      </c>
      <c r="F14" s="5"/>
    </row>
    <row r="15" spans="2:6" x14ac:dyDescent="0.3">
      <c r="B15" s="2" t="s">
        <v>12</v>
      </c>
      <c r="C15" s="2" t="s">
        <v>29</v>
      </c>
      <c r="D15" s="6" t="s">
        <v>41</v>
      </c>
      <c r="E15" s="3">
        <v>235000</v>
      </c>
      <c r="F15" s="9"/>
    </row>
    <row r="16" spans="2:6" x14ac:dyDescent="0.3">
      <c r="B16" s="2" t="s">
        <v>63</v>
      </c>
      <c r="C16" s="2" t="s">
        <v>62</v>
      </c>
      <c r="D16" s="5"/>
      <c r="E16" s="3"/>
      <c r="F16" s="4"/>
    </row>
    <row r="17" spans="2:6" x14ac:dyDescent="0.3">
      <c r="B17" s="2" t="s">
        <v>14</v>
      </c>
      <c r="C17" s="2" t="s">
        <v>29</v>
      </c>
      <c r="D17" t="s">
        <v>76</v>
      </c>
      <c r="E17" s="3">
        <v>38500</v>
      </c>
      <c r="F17" s="5"/>
    </row>
    <row r="18" spans="2:6" x14ac:dyDescent="0.3">
      <c r="B18" s="2" t="s">
        <v>15</v>
      </c>
      <c r="C18" s="2" t="s">
        <v>29</v>
      </c>
      <c r="D18" s="4" t="s">
        <v>42</v>
      </c>
      <c r="E18" s="3">
        <v>14000</v>
      </c>
      <c r="F18" s="2"/>
    </row>
    <row r="19" spans="2:6" x14ac:dyDescent="0.3">
      <c r="B19" s="2" t="s">
        <v>16</v>
      </c>
      <c r="C19" s="2" t="s">
        <v>29</v>
      </c>
      <c r="D19" s="5" t="s">
        <v>78</v>
      </c>
      <c r="E19" s="3">
        <v>80000</v>
      </c>
      <c r="F19" s="2"/>
    </row>
    <row r="20" spans="2:6" ht="28.8" x14ac:dyDescent="0.3">
      <c r="B20" s="2" t="s">
        <v>82</v>
      </c>
      <c r="C20" s="2" t="s">
        <v>29</v>
      </c>
      <c r="D20" s="2" t="s">
        <v>79</v>
      </c>
      <c r="E20" s="3">
        <v>110000</v>
      </c>
      <c r="F20" s="2"/>
    </row>
    <row r="21" spans="2:6" ht="28.8" x14ac:dyDescent="0.3">
      <c r="B21" s="2" t="s">
        <v>83</v>
      </c>
      <c r="C21" s="2" t="s">
        <v>29</v>
      </c>
      <c r="D21" s="2" t="s">
        <v>84</v>
      </c>
      <c r="E21" s="3">
        <v>350000</v>
      </c>
      <c r="F21" s="2"/>
    </row>
    <row r="22" spans="2:6" x14ac:dyDescent="0.3">
      <c r="B22" s="8" t="s">
        <v>80</v>
      </c>
      <c r="C22" s="6" t="s">
        <v>29</v>
      </c>
      <c r="D22" s="6" t="s">
        <v>50</v>
      </c>
      <c r="E22" s="7">
        <v>480000</v>
      </c>
      <c r="F22" s="2"/>
    </row>
    <row r="23" spans="2:6" x14ac:dyDescent="0.3">
      <c r="B23" s="25" t="s">
        <v>81</v>
      </c>
      <c r="C23" s="25" t="s">
        <v>29</v>
      </c>
      <c r="D23" s="6" t="s">
        <v>85</v>
      </c>
      <c r="E23" s="7">
        <v>220000</v>
      </c>
      <c r="F23" s="25"/>
    </row>
    <row r="24" spans="2:6" x14ac:dyDescent="0.3">
      <c r="B24" s="26"/>
      <c r="C24" s="26"/>
      <c r="D24" s="6" t="s">
        <v>57</v>
      </c>
      <c r="E24" s="7">
        <v>70000</v>
      </c>
      <c r="F24" s="26"/>
    </row>
    <row r="25" spans="2:6" x14ac:dyDescent="0.3">
      <c r="B25" s="2" t="s">
        <v>19</v>
      </c>
      <c r="C25" s="2" t="s">
        <v>29</v>
      </c>
      <c r="D25" s="2" t="s">
        <v>89</v>
      </c>
      <c r="E25" s="3">
        <v>156212</v>
      </c>
      <c r="F25" s="2"/>
    </row>
    <row r="26" spans="2:6" x14ac:dyDescent="0.3">
      <c r="B26" s="2" t="s">
        <v>20</v>
      </c>
      <c r="C26" s="2" t="s">
        <v>29</v>
      </c>
      <c r="D26" s="2" t="s">
        <v>87</v>
      </c>
      <c r="E26" s="3">
        <f>40000+17119.15</f>
        <v>57119.15</v>
      </c>
      <c r="F26" s="2"/>
    </row>
    <row r="27" spans="2:6" x14ac:dyDescent="0.3">
      <c r="B27" s="2" t="s">
        <v>21</v>
      </c>
      <c r="C27" s="2" t="s">
        <v>29</v>
      </c>
      <c r="D27" s="2" t="s">
        <v>91</v>
      </c>
      <c r="E27" s="3">
        <v>25000</v>
      </c>
      <c r="F27" s="2"/>
    </row>
    <row r="28" spans="2:6" x14ac:dyDescent="0.3">
      <c r="B28" s="2" t="s">
        <v>88</v>
      </c>
      <c r="C28" s="2" t="s">
        <v>29</v>
      </c>
      <c r="D28" s="2" t="s">
        <v>78</v>
      </c>
      <c r="E28" s="3">
        <v>14000</v>
      </c>
      <c r="F28" s="2"/>
    </row>
    <row r="29" spans="2:6" x14ac:dyDescent="0.3">
      <c r="B29" s="2" t="s">
        <v>92</v>
      </c>
      <c r="C29" s="2" t="s">
        <v>29</v>
      </c>
      <c r="D29" s="2" t="s">
        <v>90</v>
      </c>
      <c r="E29" s="3">
        <v>24110</v>
      </c>
      <c r="F29" s="2"/>
    </row>
    <row r="30" spans="2:6" x14ac:dyDescent="0.3">
      <c r="B30" s="2" t="s">
        <v>23</v>
      </c>
      <c r="C30" s="2" t="s">
        <v>29</v>
      </c>
      <c r="D30" s="2" t="s">
        <v>52</v>
      </c>
      <c r="E30" s="3">
        <v>110000</v>
      </c>
      <c r="F30" s="2"/>
    </row>
    <row r="31" spans="2:6" x14ac:dyDescent="0.3">
      <c r="B31" s="2" t="s">
        <v>134</v>
      </c>
      <c r="C31" s="2" t="s">
        <v>29</v>
      </c>
      <c r="D31" s="2" t="s">
        <v>93</v>
      </c>
      <c r="E31" s="3">
        <v>80000</v>
      </c>
      <c r="F31" s="2"/>
    </row>
    <row r="32" spans="2:6" x14ac:dyDescent="0.3">
      <c r="B32" s="2" t="s">
        <v>97</v>
      </c>
      <c r="C32" s="2" t="s">
        <v>29</v>
      </c>
      <c r="D32" s="2" t="s">
        <v>95</v>
      </c>
      <c r="E32" s="3">
        <v>12000</v>
      </c>
      <c r="F32" s="2"/>
    </row>
    <row r="33" spans="2:6" x14ac:dyDescent="0.3">
      <c r="B33" s="2" t="s">
        <v>24</v>
      </c>
      <c r="C33" s="2" t="s">
        <v>29</v>
      </c>
      <c r="D33" s="2" t="s">
        <v>96</v>
      </c>
      <c r="E33" s="3">
        <v>10900</v>
      </c>
      <c r="F33" s="2"/>
    </row>
    <row r="34" spans="2:6" x14ac:dyDescent="0.3">
      <c r="B34" s="2" t="s">
        <v>98</v>
      </c>
      <c r="C34" s="2" t="s">
        <v>29</v>
      </c>
      <c r="D34" s="2" t="s">
        <v>99</v>
      </c>
      <c r="E34" s="3">
        <v>9000</v>
      </c>
      <c r="F34" s="2"/>
    </row>
    <row r="35" spans="2:6" x14ac:dyDescent="0.3">
      <c r="B35" s="2" t="s">
        <v>131</v>
      </c>
      <c r="C35" s="2" t="s">
        <v>29</v>
      </c>
      <c r="D35" s="2" t="s">
        <v>133</v>
      </c>
      <c r="E35" s="3">
        <v>14000</v>
      </c>
      <c r="F35" s="2"/>
    </row>
    <row r="36" spans="2:6" x14ac:dyDescent="0.3">
      <c r="B36" s="2" t="s">
        <v>100</v>
      </c>
      <c r="C36" s="2" t="s">
        <v>29</v>
      </c>
      <c r="D36" s="2" t="s">
        <v>101</v>
      </c>
      <c r="E36" s="3">
        <v>40000</v>
      </c>
      <c r="F36" s="2"/>
    </row>
    <row r="37" spans="2:6" x14ac:dyDescent="0.3">
      <c r="B37" s="4" t="s">
        <v>102</v>
      </c>
      <c r="C37" s="2" t="s">
        <v>29</v>
      </c>
      <c r="D37" s="2" t="s">
        <v>90</v>
      </c>
      <c r="E37" s="3">
        <v>66400</v>
      </c>
      <c r="F37" s="2"/>
    </row>
    <row r="38" spans="2:6" x14ac:dyDescent="0.3">
      <c r="B38" s="4" t="s">
        <v>103</v>
      </c>
      <c r="C38" s="4" t="s">
        <v>29</v>
      </c>
      <c r="D38" s="4" t="s">
        <v>104</v>
      </c>
      <c r="E38" s="12">
        <v>2000</v>
      </c>
      <c r="F38" s="4"/>
    </row>
    <row r="39" spans="2:6" x14ac:dyDescent="0.3">
      <c r="B39" s="4" t="s">
        <v>105</v>
      </c>
      <c r="C39" s="4" t="s">
        <v>29</v>
      </c>
      <c r="D39" s="4" t="s">
        <v>106</v>
      </c>
      <c r="E39" s="12">
        <v>19126</v>
      </c>
      <c r="F39" s="4"/>
    </row>
    <row r="40" spans="2:6" x14ac:dyDescent="0.3">
      <c r="B40" s="4" t="s">
        <v>107</v>
      </c>
      <c r="C40" s="4" t="s">
        <v>29</v>
      </c>
      <c r="D40" t="s">
        <v>108</v>
      </c>
      <c r="E40" s="11">
        <v>1000</v>
      </c>
      <c r="F40" s="4"/>
    </row>
    <row r="41" spans="2:6" x14ac:dyDescent="0.3">
      <c r="E41" s="12"/>
    </row>
  </sheetData>
  <autoFilter ref="B1:F40" xr:uid="{00000000-0009-0000-0000-000000000000}"/>
  <sortState xmlns:xlrd2="http://schemas.microsoft.com/office/spreadsheetml/2017/richdata2" ref="B2:F38">
    <sortCondition ref="B2:B38"/>
  </sortState>
  <mergeCells count="3">
    <mergeCell ref="B23:B24"/>
    <mergeCell ref="C23:C24"/>
    <mergeCell ref="F23:F24"/>
  </mergeCells>
  <dataValidations count="1">
    <dataValidation type="list" allowBlank="1" sqref="C25:C37 C2:C23" xr:uid="{6AE75C8A-EEEF-476B-AB0E-F775CF952CF6}">
      <formula1>"Pendente,Em cotação,Em negociação,Fechado,Concluído,Cancelado"</formula1>
    </dataValidation>
  </dataValidations>
  <pageMargins left="0.75" right="0.75" top="1" bottom="1" header="0.5" footer="0.5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0DCB-47AD-4799-BD1D-2AC0BF6EFB4A}">
  <dimension ref="B1:F38"/>
  <sheetViews>
    <sheetView workbookViewId="0">
      <pane ySplit="1" topLeftCell="A20" activePane="bottomLeft" state="frozen"/>
      <selection pane="bottomLeft" activeCell="B38" sqref="B38"/>
    </sheetView>
  </sheetViews>
  <sheetFormatPr defaultRowHeight="14.4" x14ac:dyDescent="0.3"/>
  <cols>
    <col min="2" max="2" width="38" customWidth="1"/>
    <col min="3" max="3" width="20" style="18" customWidth="1"/>
    <col min="4" max="4" width="32" style="18" customWidth="1"/>
    <col min="5" max="5" width="18" style="22" customWidth="1"/>
    <col min="6" max="6" width="55" customWidth="1"/>
  </cols>
  <sheetData>
    <row r="1" spans="2:6" x14ac:dyDescent="0.3">
      <c r="B1" s="1" t="s">
        <v>0</v>
      </c>
      <c r="C1" s="13" t="s">
        <v>1</v>
      </c>
      <c r="D1" s="13" t="s">
        <v>2</v>
      </c>
      <c r="E1" s="19" t="s">
        <v>3</v>
      </c>
      <c r="F1" s="1" t="s">
        <v>4</v>
      </c>
    </row>
    <row r="2" spans="2:6" x14ac:dyDescent="0.3">
      <c r="B2" s="2" t="s">
        <v>61</v>
      </c>
      <c r="C2" s="14" t="s">
        <v>62</v>
      </c>
      <c r="D2" s="14"/>
      <c r="E2" s="20"/>
      <c r="F2" s="2"/>
    </row>
    <row r="3" spans="2:6" x14ac:dyDescent="0.3">
      <c r="B3" s="2" t="s">
        <v>5</v>
      </c>
      <c r="C3" s="14" t="s">
        <v>62</v>
      </c>
      <c r="D3" s="14"/>
      <c r="E3" s="20"/>
      <c r="F3" s="2"/>
    </row>
    <row r="4" spans="2:6" x14ac:dyDescent="0.3">
      <c r="B4" s="2" t="s">
        <v>6</v>
      </c>
      <c r="C4" s="14" t="s">
        <v>62</v>
      </c>
      <c r="D4" s="14"/>
      <c r="E4" s="20"/>
      <c r="F4" s="2"/>
    </row>
    <row r="5" spans="2:6" x14ac:dyDescent="0.3">
      <c r="B5" s="2" t="s">
        <v>27</v>
      </c>
      <c r="C5" s="15" t="s">
        <v>29</v>
      </c>
      <c r="D5" s="15" t="s">
        <v>111</v>
      </c>
      <c r="E5" s="21">
        <v>31500</v>
      </c>
      <c r="F5" s="4" t="s">
        <v>68</v>
      </c>
    </row>
    <row r="6" spans="2:6" x14ac:dyDescent="0.3">
      <c r="B6" s="2" t="s">
        <v>28</v>
      </c>
      <c r="C6" s="15" t="s">
        <v>62</v>
      </c>
      <c r="D6" s="15"/>
      <c r="E6" s="21"/>
      <c r="F6" s="6"/>
    </row>
    <row r="7" spans="2:6" x14ac:dyDescent="0.3">
      <c r="B7" s="2" t="s">
        <v>26</v>
      </c>
      <c r="C7" s="15" t="s">
        <v>34</v>
      </c>
      <c r="D7" s="15"/>
      <c r="E7" s="21"/>
      <c r="F7" s="6"/>
    </row>
    <row r="8" spans="2:6" x14ac:dyDescent="0.3">
      <c r="B8" s="2" t="s">
        <v>123</v>
      </c>
      <c r="C8" s="15" t="s">
        <v>62</v>
      </c>
      <c r="D8" s="15"/>
      <c r="E8" s="21"/>
      <c r="F8" s="6"/>
    </row>
    <row r="9" spans="2:6" x14ac:dyDescent="0.3">
      <c r="B9" s="2" t="s">
        <v>8</v>
      </c>
      <c r="C9" s="15" t="s">
        <v>62</v>
      </c>
      <c r="D9" s="15"/>
      <c r="E9" s="21"/>
      <c r="F9" s="6"/>
    </row>
    <row r="10" spans="2:6" x14ac:dyDescent="0.3">
      <c r="B10" s="2" t="s">
        <v>60</v>
      </c>
      <c r="C10" s="15" t="s">
        <v>62</v>
      </c>
      <c r="D10" s="15"/>
      <c r="E10" s="21"/>
      <c r="F10" s="6"/>
    </row>
    <row r="11" spans="2:6" x14ac:dyDescent="0.3">
      <c r="B11" s="2" t="s">
        <v>9</v>
      </c>
      <c r="C11" s="15" t="s">
        <v>29</v>
      </c>
      <c r="D11" s="15" t="s">
        <v>75</v>
      </c>
      <c r="E11" s="21">
        <v>103000</v>
      </c>
      <c r="F11" s="4" t="s">
        <v>68</v>
      </c>
    </row>
    <row r="12" spans="2:6" x14ac:dyDescent="0.3">
      <c r="B12" s="2" t="s">
        <v>10</v>
      </c>
      <c r="C12" s="15" t="s">
        <v>29</v>
      </c>
      <c r="D12" s="15" t="s">
        <v>37</v>
      </c>
      <c r="E12" s="21">
        <v>95000</v>
      </c>
      <c r="F12" s="4"/>
    </row>
    <row r="13" spans="2:6" x14ac:dyDescent="0.3">
      <c r="B13" s="2" t="s">
        <v>112</v>
      </c>
      <c r="C13" s="15" t="s">
        <v>29</v>
      </c>
      <c r="D13" s="15" t="s">
        <v>113</v>
      </c>
      <c r="E13" s="21">
        <v>70000</v>
      </c>
      <c r="F13" s="4" t="s">
        <v>68</v>
      </c>
    </row>
    <row r="14" spans="2:6" x14ac:dyDescent="0.3">
      <c r="B14" s="2" t="s">
        <v>11</v>
      </c>
      <c r="C14" s="15" t="s">
        <v>34</v>
      </c>
      <c r="D14" s="15"/>
      <c r="E14" s="21"/>
      <c r="F14" s="6"/>
    </row>
    <row r="15" spans="2:6" x14ac:dyDescent="0.3">
      <c r="B15" s="2" t="s">
        <v>114</v>
      </c>
      <c r="C15" s="15" t="s">
        <v>29</v>
      </c>
      <c r="D15" s="16" t="s">
        <v>38</v>
      </c>
      <c r="E15" s="21">
        <v>80000</v>
      </c>
      <c r="F15" s="4" t="s">
        <v>68</v>
      </c>
    </row>
    <row r="16" spans="2:6" x14ac:dyDescent="0.3">
      <c r="B16" s="2" t="s">
        <v>63</v>
      </c>
      <c r="C16" s="15" t="s">
        <v>62</v>
      </c>
      <c r="D16" s="16"/>
      <c r="E16" s="21"/>
      <c r="F16" s="4"/>
    </row>
    <row r="17" spans="2:6" x14ac:dyDescent="0.3">
      <c r="B17" s="2" t="s">
        <v>14</v>
      </c>
      <c r="C17" s="15" t="s">
        <v>29</v>
      </c>
      <c r="D17" s="16" t="s">
        <v>115</v>
      </c>
      <c r="E17" s="21">
        <v>135000</v>
      </c>
      <c r="F17" s="4" t="s">
        <v>68</v>
      </c>
    </row>
    <row r="18" spans="2:6" x14ac:dyDescent="0.3">
      <c r="B18" s="2" t="s">
        <v>15</v>
      </c>
      <c r="C18" s="15" t="s">
        <v>62</v>
      </c>
      <c r="D18" s="16"/>
      <c r="E18" s="21"/>
      <c r="F18" s="6"/>
    </row>
    <row r="19" spans="2:6" x14ac:dyDescent="0.3">
      <c r="B19" s="2" t="s">
        <v>16</v>
      </c>
      <c r="C19" s="15" t="s">
        <v>34</v>
      </c>
      <c r="D19" s="15"/>
      <c r="E19" s="21"/>
      <c r="F19" s="6"/>
    </row>
    <row r="20" spans="2:6" x14ac:dyDescent="0.3">
      <c r="B20" t="s">
        <v>122</v>
      </c>
      <c r="C20" s="15" t="s">
        <v>34</v>
      </c>
      <c r="D20" s="15"/>
      <c r="E20" s="21"/>
      <c r="F20" s="6"/>
    </row>
    <row r="21" spans="2:6" x14ac:dyDescent="0.3">
      <c r="B21" s="2" t="s">
        <v>65</v>
      </c>
      <c r="C21" s="15" t="s">
        <v>34</v>
      </c>
      <c r="D21" s="15"/>
      <c r="E21" s="21"/>
      <c r="F21" s="6"/>
    </row>
    <row r="22" spans="2:6" x14ac:dyDescent="0.3">
      <c r="B22" s="23" t="s">
        <v>17</v>
      </c>
      <c r="C22" s="15" t="s">
        <v>62</v>
      </c>
      <c r="D22" s="15"/>
      <c r="E22" s="21"/>
      <c r="F22" s="6"/>
    </row>
    <row r="23" spans="2:6" x14ac:dyDescent="0.3">
      <c r="B23" s="2" t="s">
        <v>19</v>
      </c>
      <c r="C23" s="15" t="s">
        <v>62</v>
      </c>
      <c r="D23" s="15"/>
      <c r="E23" s="21"/>
      <c r="F23" s="6"/>
    </row>
    <row r="24" spans="2:6" x14ac:dyDescent="0.3">
      <c r="B24" s="2" t="s">
        <v>20</v>
      </c>
      <c r="C24" s="15" t="s">
        <v>34</v>
      </c>
      <c r="D24" s="15"/>
      <c r="E24" s="21"/>
      <c r="F24" s="6"/>
    </row>
    <row r="25" spans="2:6" x14ac:dyDescent="0.3">
      <c r="B25" s="2" t="s">
        <v>21</v>
      </c>
      <c r="C25" s="15" t="s">
        <v>29</v>
      </c>
      <c r="D25" s="15"/>
      <c r="E25" s="21"/>
      <c r="F25" s="4"/>
    </row>
    <row r="26" spans="2:6" x14ac:dyDescent="0.3">
      <c r="B26" s="2" t="s">
        <v>22</v>
      </c>
      <c r="C26" s="15" t="s">
        <v>62</v>
      </c>
      <c r="D26" s="15"/>
      <c r="E26" s="21"/>
      <c r="F26" s="6"/>
    </row>
    <row r="27" spans="2:6" x14ac:dyDescent="0.3">
      <c r="B27" s="2" t="s">
        <v>23</v>
      </c>
      <c r="C27" s="15" t="s">
        <v>29</v>
      </c>
      <c r="D27" s="15" t="s">
        <v>52</v>
      </c>
      <c r="E27" s="21">
        <v>139000</v>
      </c>
      <c r="F27" s="4"/>
    </row>
    <row r="28" spans="2:6" x14ac:dyDescent="0.3">
      <c r="B28" s="2" t="s">
        <v>116</v>
      </c>
      <c r="C28" s="15" t="s">
        <v>29</v>
      </c>
      <c r="D28" s="15" t="s">
        <v>53</v>
      </c>
      <c r="E28" s="21">
        <v>150000</v>
      </c>
      <c r="F28" s="4"/>
    </row>
    <row r="29" spans="2:6" x14ac:dyDescent="0.3">
      <c r="B29" s="2" t="s">
        <v>94</v>
      </c>
      <c r="C29" s="15" t="s">
        <v>29</v>
      </c>
      <c r="D29" s="15"/>
      <c r="E29" s="21"/>
      <c r="F29" s="4"/>
    </row>
    <row r="30" spans="2:6" x14ac:dyDescent="0.3">
      <c r="B30" s="2" t="s">
        <v>64</v>
      </c>
      <c r="C30" s="15" t="s">
        <v>29</v>
      </c>
      <c r="D30" s="15"/>
      <c r="E30" s="21"/>
      <c r="F30" s="4"/>
    </row>
    <row r="31" spans="2:6" x14ac:dyDescent="0.3">
      <c r="B31" s="2" t="s">
        <v>24</v>
      </c>
      <c r="C31" s="15" t="s">
        <v>29</v>
      </c>
      <c r="D31" s="15" t="s">
        <v>117</v>
      </c>
      <c r="E31" s="21">
        <v>14000</v>
      </c>
      <c r="F31" s="4"/>
    </row>
    <row r="32" spans="2:6" x14ac:dyDescent="0.3">
      <c r="B32" s="2" t="s">
        <v>119</v>
      </c>
      <c r="C32" s="15" t="s">
        <v>62</v>
      </c>
      <c r="D32" s="15"/>
      <c r="E32" s="21"/>
      <c r="F32" s="6"/>
    </row>
    <row r="33" spans="2:6" x14ac:dyDescent="0.3">
      <c r="B33" s="2" t="s">
        <v>25</v>
      </c>
      <c r="C33" s="18" t="s">
        <v>29</v>
      </c>
      <c r="D33" s="15" t="s">
        <v>121</v>
      </c>
      <c r="E33" s="21">
        <v>40000</v>
      </c>
      <c r="F33" s="6"/>
    </row>
    <row r="34" spans="2:6" x14ac:dyDescent="0.3">
      <c r="B34" s="4" t="s">
        <v>118</v>
      </c>
      <c r="C34" s="15" t="s">
        <v>29</v>
      </c>
      <c r="D34" s="17" t="s">
        <v>120</v>
      </c>
      <c r="E34" s="21">
        <v>40000</v>
      </c>
      <c r="F34" s="4"/>
    </row>
    <row r="35" spans="2:6" x14ac:dyDescent="0.3">
      <c r="E35" s="21"/>
    </row>
    <row r="36" spans="2:6" x14ac:dyDescent="0.3">
      <c r="E36" s="21"/>
    </row>
    <row r="37" spans="2:6" x14ac:dyDescent="0.3">
      <c r="E37" s="21"/>
    </row>
    <row r="38" spans="2:6" x14ac:dyDescent="0.3">
      <c r="E38" s="21"/>
    </row>
  </sheetData>
  <autoFilter ref="B1:F34" xr:uid="{00000000-0009-0000-0000-000000000000}"/>
  <dataValidations count="1">
    <dataValidation type="list" allowBlank="1" sqref="C34 C2:C32" xr:uid="{A36E49ED-4763-4C91-9D53-2287A3C3D0F5}">
      <formula1>"Pendente,Em cotação,Em negociação,Fechado,Concluído,Cancelado"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A3CA-0A43-4B2B-9DB2-E4966DE1163E}">
  <dimension ref="B1:F37"/>
  <sheetViews>
    <sheetView workbookViewId="0">
      <pane ySplit="1" topLeftCell="A2" activePane="bottomLeft" state="frozen"/>
      <selection pane="bottomLeft" activeCell="F12" sqref="F12:F23"/>
    </sheetView>
  </sheetViews>
  <sheetFormatPr defaultRowHeight="14.4" x14ac:dyDescent="0.3"/>
  <cols>
    <col min="2" max="2" width="38" customWidth="1"/>
    <col min="3" max="3" width="20" style="18" customWidth="1"/>
    <col min="4" max="4" width="32" style="18" customWidth="1"/>
    <col min="5" max="5" width="18" style="22" customWidth="1"/>
    <col min="6" max="6" width="55" customWidth="1"/>
  </cols>
  <sheetData>
    <row r="1" spans="2:6" x14ac:dyDescent="0.3">
      <c r="B1" s="1" t="s">
        <v>0</v>
      </c>
      <c r="C1" s="13" t="s">
        <v>1</v>
      </c>
      <c r="D1" s="13" t="s">
        <v>2</v>
      </c>
      <c r="E1" s="19" t="s">
        <v>3</v>
      </c>
      <c r="F1" s="1" t="s">
        <v>4</v>
      </c>
    </row>
    <row r="2" spans="2:6" x14ac:dyDescent="0.3">
      <c r="B2" s="2" t="s">
        <v>5</v>
      </c>
      <c r="C2" s="14" t="s">
        <v>62</v>
      </c>
      <c r="D2" s="14"/>
      <c r="E2" s="20"/>
      <c r="F2" s="2"/>
    </row>
    <row r="3" spans="2:6" x14ac:dyDescent="0.3">
      <c r="B3" s="2" t="s">
        <v>61</v>
      </c>
      <c r="C3" s="14" t="s">
        <v>62</v>
      </c>
      <c r="D3" s="14"/>
      <c r="E3" s="20"/>
      <c r="F3" s="2"/>
    </row>
    <row r="4" spans="2:6" x14ac:dyDescent="0.3">
      <c r="B4" s="2" t="s">
        <v>6</v>
      </c>
      <c r="C4" s="14" t="s">
        <v>62</v>
      </c>
      <c r="D4" s="14"/>
      <c r="E4" s="20"/>
      <c r="F4" s="2"/>
    </row>
    <row r="5" spans="2:6" x14ac:dyDescent="0.3">
      <c r="B5" s="2" t="s">
        <v>123</v>
      </c>
      <c r="C5" s="15" t="s">
        <v>62</v>
      </c>
      <c r="D5" s="15"/>
      <c r="E5" s="21"/>
      <c r="F5" s="6"/>
    </row>
    <row r="6" spans="2:6" x14ac:dyDescent="0.3">
      <c r="B6" s="2" t="s">
        <v>28</v>
      </c>
      <c r="C6" s="15" t="s">
        <v>62</v>
      </c>
      <c r="D6" s="15"/>
      <c r="E6" s="21"/>
      <c r="F6" s="6"/>
    </row>
    <row r="7" spans="2:6" x14ac:dyDescent="0.3">
      <c r="B7" s="2" t="s">
        <v>27</v>
      </c>
      <c r="C7" s="15" t="s">
        <v>34</v>
      </c>
      <c r="D7" s="15"/>
      <c r="E7" s="21"/>
      <c r="F7" s="6"/>
    </row>
    <row r="8" spans="2:6" x14ac:dyDescent="0.3">
      <c r="B8" s="2" t="s">
        <v>26</v>
      </c>
      <c r="C8" s="15" t="s">
        <v>62</v>
      </c>
      <c r="D8" s="15"/>
      <c r="E8" s="21"/>
      <c r="F8" s="6"/>
    </row>
    <row r="9" spans="2:6" x14ac:dyDescent="0.3">
      <c r="B9" s="2" t="s">
        <v>8</v>
      </c>
      <c r="C9" s="15" t="s">
        <v>62</v>
      </c>
      <c r="D9" s="15"/>
      <c r="E9" s="21"/>
      <c r="F9" s="6"/>
    </row>
    <row r="10" spans="2:6" x14ac:dyDescent="0.3">
      <c r="B10" s="2" t="s">
        <v>60</v>
      </c>
      <c r="C10" s="15" t="s">
        <v>62</v>
      </c>
      <c r="D10" s="15"/>
      <c r="E10" s="21"/>
      <c r="F10" s="6"/>
    </row>
    <row r="11" spans="2:6" x14ac:dyDescent="0.3">
      <c r="B11" s="2" t="s">
        <v>9</v>
      </c>
      <c r="C11" s="15" t="s">
        <v>34</v>
      </c>
      <c r="D11" s="15"/>
      <c r="E11" s="21"/>
      <c r="F11" s="2"/>
    </row>
    <row r="12" spans="2:6" x14ac:dyDescent="0.3">
      <c r="B12" s="2" t="s">
        <v>10</v>
      </c>
      <c r="C12" s="15" t="s">
        <v>62</v>
      </c>
      <c r="D12" s="15"/>
      <c r="E12" s="21"/>
      <c r="F12" s="6"/>
    </row>
    <row r="13" spans="2:6" x14ac:dyDescent="0.3">
      <c r="B13" s="2" t="s">
        <v>112</v>
      </c>
      <c r="C13" s="15" t="s">
        <v>29</v>
      </c>
      <c r="D13" s="15" t="s">
        <v>113</v>
      </c>
      <c r="E13" s="21">
        <v>1368000</v>
      </c>
      <c r="F13" s="6"/>
    </row>
    <row r="14" spans="2:6" x14ac:dyDescent="0.3">
      <c r="B14" s="2" t="s">
        <v>11</v>
      </c>
      <c r="C14" s="15" t="s">
        <v>34</v>
      </c>
      <c r="D14" s="15"/>
      <c r="E14" s="21"/>
      <c r="F14" s="6"/>
    </row>
    <row r="15" spans="2:6" x14ac:dyDescent="0.3">
      <c r="B15" s="2" t="s">
        <v>63</v>
      </c>
      <c r="C15" s="15" t="s">
        <v>62</v>
      </c>
      <c r="D15" s="16"/>
      <c r="E15" s="21"/>
      <c r="F15" s="4"/>
    </row>
    <row r="16" spans="2:6" ht="16.5" customHeight="1" x14ac:dyDescent="0.3">
      <c r="B16" s="2" t="s">
        <v>127</v>
      </c>
      <c r="C16" s="15" t="s">
        <v>29</v>
      </c>
      <c r="D16" s="16" t="s">
        <v>38</v>
      </c>
      <c r="E16" s="21">
        <v>110000</v>
      </c>
      <c r="F16" s="4"/>
    </row>
    <row r="17" spans="2:6" x14ac:dyDescent="0.3">
      <c r="B17" s="2" t="s">
        <v>14</v>
      </c>
      <c r="C17" s="15" t="s">
        <v>29</v>
      </c>
      <c r="D17" s="16" t="s">
        <v>115</v>
      </c>
      <c r="E17" s="21">
        <v>55600</v>
      </c>
      <c r="F17" s="6"/>
    </row>
    <row r="18" spans="2:6" x14ac:dyDescent="0.3">
      <c r="B18" s="2" t="s">
        <v>15</v>
      </c>
      <c r="C18" s="15" t="s">
        <v>62</v>
      </c>
      <c r="D18" s="16"/>
      <c r="E18" s="21"/>
      <c r="F18" s="6"/>
    </row>
    <row r="19" spans="2:6" x14ac:dyDescent="0.3">
      <c r="B19" s="2" t="s">
        <v>16</v>
      </c>
      <c r="C19" s="15" t="s">
        <v>62</v>
      </c>
      <c r="D19" s="15"/>
      <c r="E19" s="21"/>
      <c r="F19" s="6"/>
    </row>
    <row r="20" spans="2:6" x14ac:dyDescent="0.3">
      <c r="B20" t="s">
        <v>122</v>
      </c>
      <c r="C20" s="15" t="s">
        <v>62</v>
      </c>
      <c r="D20" s="15"/>
      <c r="E20" s="21"/>
      <c r="F20" s="6"/>
    </row>
    <row r="21" spans="2:6" x14ac:dyDescent="0.3">
      <c r="B21" s="2" t="s">
        <v>65</v>
      </c>
      <c r="C21" s="15" t="s">
        <v>62</v>
      </c>
      <c r="D21" s="15"/>
      <c r="E21" s="21"/>
      <c r="F21" s="6"/>
    </row>
    <row r="22" spans="2:6" x14ac:dyDescent="0.3">
      <c r="B22" s="23" t="s">
        <v>17</v>
      </c>
      <c r="C22" s="15" t="s">
        <v>62</v>
      </c>
      <c r="D22" s="15"/>
      <c r="E22" s="21"/>
      <c r="F22" s="6"/>
    </row>
    <row r="23" spans="2:6" x14ac:dyDescent="0.3">
      <c r="B23" s="2" t="s">
        <v>19</v>
      </c>
      <c r="C23" s="15" t="s">
        <v>62</v>
      </c>
      <c r="D23" s="15"/>
      <c r="E23" s="21"/>
      <c r="F23" s="6"/>
    </row>
    <row r="24" spans="2:6" x14ac:dyDescent="0.3">
      <c r="B24" s="2" t="s">
        <v>20</v>
      </c>
      <c r="C24" s="15" t="s">
        <v>62</v>
      </c>
      <c r="D24" s="15"/>
      <c r="E24" s="21"/>
      <c r="F24" s="6"/>
    </row>
    <row r="25" spans="2:6" x14ac:dyDescent="0.3">
      <c r="B25" s="2" t="s">
        <v>21</v>
      </c>
      <c r="C25" s="15" t="s">
        <v>29</v>
      </c>
      <c r="D25" s="15" t="s">
        <v>125</v>
      </c>
      <c r="E25" s="21">
        <v>9000</v>
      </c>
      <c r="F25" s="6"/>
    </row>
    <row r="26" spans="2:6" x14ac:dyDescent="0.3">
      <c r="B26" s="2" t="s">
        <v>22</v>
      </c>
      <c r="C26" s="15" t="s">
        <v>62</v>
      </c>
      <c r="D26" s="15"/>
      <c r="E26" s="21"/>
      <c r="F26" s="6"/>
    </row>
    <row r="27" spans="2:6" x14ac:dyDescent="0.3">
      <c r="B27" s="2" t="s">
        <v>23</v>
      </c>
      <c r="C27" s="15" t="s">
        <v>34</v>
      </c>
      <c r="D27" s="15"/>
      <c r="E27" s="21"/>
      <c r="F27" s="6"/>
    </row>
    <row r="28" spans="2:6" x14ac:dyDescent="0.3">
      <c r="B28" s="2" t="s">
        <v>116</v>
      </c>
      <c r="C28" s="15" t="s">
        <v>29</v>
      </c>
      <c r="D28" s="15" t="s">
        <v>53</v>
      </c>
      <c r="E28" s="21"/>
      <c r="F28" s="6"/>
    </row>
    <row r="29" spans="2:6" x14ac:dyDescent="0.3">
      <c r="B29" s="2" t="s">
        <v>126</v>
      </c>
      <c r="C29" s="15" t="s">
        <v>29</v>
      </c>
      <c r="D29" s="15" t="s">
        <v>124</v>
      </c>
      <c r="E29" s="21">
        <v>20000</v>
      </c>
      <c r="F29" s="6"/>
    </row>
    <row r="30" spans="2:6" x14ac:dyDescent="0.3">
      <c r="B30" s="2" t="s">
        <v>24</v>
      </c>
      <c r="C30" s="15" t="s">
        <v>29</v>
      </c>
      <c r="D30" s="15" t="s">
        <v>117</v>
      </c>
      <c r="E30" s="21">
        <v>14000</v>
      </c>
      <c r="F30" s="6"/>
    </row>
    <row r="31" spans="2:6" x14ac:dyDescent="0.3">
      <c r="B31" s="2" t="s">
        <v>119</v>
      </c>
      <c r="C31" s="15" t="s">
        <v>29</v>
      </c>
      <c r="D31" s="15" t="s">
        <v>56</v>
      </c>
      <c r="E31" s="21">
        <v>18000</v>
      </c>
      <c r="F31" s="6"/>
    </row>
    <row r="32" spans="2:6" x14ac:dyDescent="0.3">
      <c r="B32" s="2" t="s">
        <v>25</v>
      </c>
      <c r="C32" s="18" t="s">
        <v>29</v>
      </c>
      <c r="D32" s="15"/>
      <c r="E32" s="21"/>
      <c r="F32" s="6"/>
    </row>
    <row r="33" spans="2:6" x14ac:dyDescent="0.3">
      <c r="B33" s="4" t="s">
        <v>118</v>
      </c>
      <c r="C33" s="15" t="s">
        <v>34</v>
      </c>
      <c r="D33" s="17"/>
      <c r="E33" s="21"/>
      <c r="F33" s="4"/>
    </row>
    <row r="34" spans="2:6" x14ac:dyDescent="0.3">
      <c r="E34" s="21"/>
    </row>
    <row r="35" spans="2:6" x14ac:dyDescent="0.3">
      <c r="E35" s="21"/>
    </row>
    <row r="36" spans="2:6" x14ac:dyDescent="0.3">
      <c r="E36" s="21"/>
    </row>
    <row r="37" spans="2:6" x14ac:dyDescent="0.3">
      <c r="E37" s="21"/>
    </row>
  </sheetData>
  <autoFilter ref="B1:F33" xr:uid="{00000000-0009-0000-0000-000000000000}"/>
  <sortState xmlns:xlrd2="http://schemas.microsoft.com/office/spreadsheetml/2017/richdata2" ref="B2:F33">
    <sortCondition ref="B33"/>
  </sortState>
  <dataValidations count="1">
    <dataValidation type="list" allowBlank="1" sqref="C33 C2:C31" xr:uid="{8633EB33-FD85-41BA-83DC-AD7DFCCB6512}">
      <formula1>"Pendente,Em cotação,Em negociação,Fechado,Concluído,Cancelado"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EBCC-8FA1-46CA-9EFD-495B9616C51F}">
  <dimension ref="B1:F38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2" max="2" width="38" customWidth="1"/>
    <col min="3" max="3" width="20" style="18" customWidth="1"/>
    <col min="4" max="4" width="32" style="18" customWidth="1"/>
    <col min="5" max="5" width="18" style="22" customWidth="1"/>
    <col min="6" max="6" width="55" customWidth="1"/>
  </cols>
  <sheetData>
    <row r="1" spans="2:6" x14ac:dyDescent="0.3">
      <c r="B1" s="1" t="s">
        <v>0</v>
      </c>
      <c r="C1" s="13" t="s">
        <v>1</v>
      </c>
      <c r="D1" s="13" t="s">
        <v>2</v>
      </c>
      <c r="E1" s="19" t="s">
        <v>3</v>
      </c>
      <c r="F1" s="1"/>
    </row>
    <row r="2" spans="2:6" x14ac:dyDescent="0.3">
      <c r="B2" s="2" t="s">
        <v>5</v>
      </c>
      <c r="C2" s="14" t="s">
        <v>62</v>
      </c>
      <c r="D2" s="14"/>
      <c r="E2" s="20"/>
      <c r="F2" s="2"/>
    </row>
    <row r="3" spans="2:6" x14ac:dyDescent="0.3">
      <c r="B3" s="2" t="s">
        <v>61</v>
      </c>
      <c r="C3" s="14" t="s">
        <v>62</v>
      </c>
      <c r="D3" s="14"/>
      <c r="E3" s="20"/>
      <c r="F3" s="2"/>
    </row>
    <row r="4" spans="2:6" x14ac:dyDescent="0.3">
      <c r="B4" s="2" t="s">
        <v>6</v>
      </c>
      <c r="C4" s="14" t="s">
        <v>62</v>
      </c>
      <c r="D4" s="14"/>
      <c r="E4" s="20"/>
      <c r="F4" s="2"/>
    </row>
    <row r="5" spans="2:6" x14ac:dyDescent="0.3">
      <c r="B5" s="2" t="s">
        <v>123</v>
      </c>
      <c r="C5" s="15" t="s">
        <v>62</v>
      </c>
      <c r="D5" s="15"/>
      <c r="E5" s="21"/>
      <c r="F5" s="6"/>
    </row>
    <row r="6" spans="2:6" x14ac:dyDescent="0.3">
      <c r="B6" s="2" t="s">
        <v>28</v>
      </c>
      <c r="C6" s="15" t="s">
        <v>62</v>
      </c>
      <c r="D6" s="15"/>
      <c r="E6" s="21"/>
      <c r="F6" s="6"/>
    </row>
    <row r="7" spans="2:6" x14ac:dyDescent="0.3">
      <c r="B7" s="2" t="s">
        <v>27</v>
      </c>
      <c r="C7" s="15" t="s">
        <v>62</v>
      </c>
      <c r="D7" s="15"/>
      <c r="E7" s="21"/>
      <c r="F7" s="6"/>
    </row>
    <row r="8" spans="2:6" x14ac:dyDescent="0.3">
      <c r="B8" s="2" t="s">
        <v>26</v>
      </c>
      <c r="C8" s="15" t="s">
        <v>62</v>
      </c>
      <c r="D8" s="15"/>
      <c r="E8" s="21"/>
      <c r="F8" s="6"/>
    </row>
    <row r="9" spans="2:6" x14ac:dyDescent="0.3">
      <c r="B9" s="2" t="s">
        <v>132</v>
      </c>
      <c r="C9" s="15" t="s">
        <v>62</v>
      </c>
      <c r="D9" s="15"/>
      <c r="E9" s="21"/>
      <c r="F9" s="6"/>
    </row>
    <row r="10" spans="2:6" x14ac:dyDescent="0.3">
      <c r="B10" s="2" t="s">
        <v>60</v>
      </c>
      <c r="C10" s="15" t="s">
        <v>62</v>
      </c>
      <c r="D10" s="15"/>
      <c r="E10" s="21"/>
      <c r="F10" s="6"/>
    </row>
    <row r="11" spans="2:6" x14ac:dyDescent="0.3">
      <c r="B11" s="2" t="s">
        <v>128</v>
      </c>
      <c r="C11" s="15" t="s">
        <v>29</v>
      </c>
      <c r="D11" s="15" t="s">
        <v>38</v>
      </c>
      <c r="E11" s="21">
        <v>85560</v>
      </c>
      <c r="F11" s="6"/>
    </row>
    <row r="12" spans="2:6" x14ac:dyDescent="0.3">
      <c r="B12" s="2" t="s">
        <v>9</v>
      </c>
      <c r="C12" s="15" t="s">
        <v>62</v>
      </c>
      <c r="D12" s="15"/>
      <c r="E12" s="21"/>
      <c r="F12" s="2"/>
    </row>
    <row r="13" spans="2:6" x14ac:dyDescent="0.3">
      <c r="B13" s="2" t="s">
        <v>10</v>
      </c>
      <c r="C13" s="15" t="s">
        <v>62</v>
      </c>
      <c r="D13" s="15"/>
      <c r="E13" s="21"/>
      <c r="F13" s="6"/>
    </row>
    <row r="14" spans="2:6" x14ac:dyDescent="0.3">
      <c r="B14" s="2" t="s">
        <v>112</v>
      </c>
      <c r="C14" s="15" t="s">
        <v>29</v>
      </c>
      <c r="D14" s="15" t="s">
        <v>129</v>
      </c>
      <c r="E14" s="21">
        <v>3100000</v>
      </c>
      <c r="F14" s="6"/>
    </row>
    <row r="15" spans="2:6" x14ac:dyDescent="0.3">
      <c r="B15" s="2" t="s">
        <v>11</v>
      </c>
      <c r="C15" s="15" t="s">
        <v>62</v>
      </c>
      <c r="D15" s="15"/>
      <c r="E15" s="21"/>
      <c r="F15" s="6"/>
    </row>
    <row r="16" spans="2:6" x14ac:dyDescent="0.3">
      <c r="B16" s="2" t="s">
        <v>63</v>
      </c>
      <c r="C16" s="15" t="s">
        <v>62</v>
      </c>
      <c r="D16" s="16"/>
      <c r="E16" s="21"/>
      <c r="F16" s="4"/>
    </row>
    <row r="17" spans="2:6" ht="16.5" customHeight="1" x14ac:dyDescent="0.3">
      <c r="B17" s="2" t="s">
        <v>127</v>
      </c>
      <c r="C17" s="15" t="s">
        <v>29</v>
      </c>
      <c r="D17" s="15" t="s">
        <v>38</v>
      </c>
      <c r="E17" s="24">
        <v>298309</v>
      </c>
      <c r="F17" s="4"/>
    </row>
    <row r="18" spans="2:6" x14ac:dyDescent="0.3">
      <c r="B18" s="2" t="s">
        <v>14</v>
      </c>
      <c r="C18" s="15" t="s">
        <v>62</v>
      </c>
      <c r="D18" s="16"/>
      <c r="E18" s="21"/>
      <c r="F18" s="6"/>
    </row>
    <row r="19" spans="2:6" x14ac:dyDescent="0.3">
      <c r="B19" s="2" t="s">
        <v>15</v>
      </c>
      <c r="C19" s="15" t="s">
        <v>62</v>
      </c>
      <c r="D19" s="16"/>
      <c r="E19" s="21"/>
      <c r="F19" s="6"/>
    </row>
    <row r="20" spans="2:6" x14ac:dyDescent="0.3">
      <c r="B20" s="2" t="s">
        <v>16</v>
      </c>
      <c r="C20" s="15" t="s">
        <v>62</v>
      </c>
      <c r="D20" s="15"/>
      <c r="E20" s="21"/>
      <c r="F20" s="6"/>
    </row>
    <row r="21" spans="2:6" x14ac:dyDescent="0.3">
      <c r="B21" t="s">
        <v>122</v>
      </c>
      <c r="C21" s="15" t="s">
        <v>62</v>
      </c>
      <c r="D21" s="15"/>
      <c r="E21" s="21"/>
      <c r="F21" s="6"/>
    </row>
    <row r="22" spans="2:6" x14ac:dyDescent="0.3">
      <c r="B22" s="2" t="s">
        <v>65</v>
      </c>
      <c r="C22" s="15" t="s">
        <v>62</v>
      </c>
      <c r="D22" s="15"/>
      <c r="E22" s="21"/>
      <c r="F22" s="6"/>
    </row>
    <row r="23" spans="2:6" x14ac:dyDescent="0.3">
      <c r="B23" s="23" t="s">
        <v>17</v>
      </c>
      <c r="C23" s="15" t="s">
        <v>62</v>
      </c>
      <c r="D23" s="15"/>
      <c r="E23" s="21"/>
      <c r="F23" s="6"/>
    </row>
    <row r="24" spans="2:6" x14ac:dyDescent="0.3">
      <c r="B24" s="2" t="s">
        <v>19</v>
      </c>
      <c r="C24" s="15" t="s">
        <v>62</v>
      </c>
      <c r="D24" s="15"/>
      <c r="E24" s="21"/>
      <c r="F24" s="6"/>
    </row>
    <row r="25" spans="2:6" x14ac:dyDescent="0.3">
      <c r="B25" s="2" t="s">
        <v>20</v>
      </c>
      <c r="C25" s="15" t="s">
        <v>62</v>
      </c>
      <c r="D25" s="15"/>
      <c r="E25" s="21"/>
      <c r="F25" s="6"/>
    </row>
    <row r="26" spans="2:6" x14ac:dyDescent="0.3">
      <c r="B26" s="2" t="s">
        <v>21</v>
      </c>
      <c r="C26" s="15" t="s">
        <v>29</v>
      </c>
      <c r="D26" s="15" t="s">
        <v>125</v>
      </c>
      <c r="E26" s="21">
        <v>9000</v>
      </c>
      <c r="F26" s="6"/>
    </row>
    <row r="27" spans="2:6" x14ac:dyDescent="0.3">
      <c r="B27" s="2" t="s">
        <v>22</v>
      </c>
      <c r="C27" s="15" t="s">
        <v>62</v>
      </c>
      <c r="D27" s="15"/>
      <c r="E27" s="21"/>
      <c r="F27" s="6"/>
    </row>
    <row r="28" spans="2:6" x14ac:dyDescent="0.3">
      <c r="B28" s="2" t="s">
        <v>23</v>
      </c>
      <c r="C28" s="15" t="s">
        <v>62</v>
      </c>
      <c r="D28" s="15"/>
      <c r="E28" s="21"/>
      <c r="F28" s="6"/>
    </row>
    <row r="29" spans="2:6" x14ac:dyDescent="0.3">
      <c r="B29" s="2" t="s">
        <v>116</v>
      </c>
      <c r="C29" s="15" t="s">
        <v>29</v>
      </c>
      <c r="D29" s="15"/>
      <c r="E29" s="21"/>
      <c r="F29" s="6"/>
    </row>
    <row r="30" spans="2:6" x14ac:dyDescent="0.3">
      <c r="B30" s="2" t="s">
        <v>126</v>
      </c>
      <c r="C30" s="15" t="s">
        <v>29</v>
      </c>
      <c r="D30" s="15" t="s">
        <v>130</v>
      </c>
      <c r="E30" s="21">
        <v>42750</v>
      </c>
      <c r="F30" s="6"/>
    </row>
    <row r="31" spans="2:6" x14ac:dyDescent="0.3">
      <c r="B31" s="2" t="s">
        <v>24</v>
      </c>
      <c r="C31" s="15" t="s">
        <v>29</v>
      </c>
      <c r="D31" s="15" t="s">
        <v>117</v>
      </c>
      <c r="E31" s="21">
        <v>17500</v>
      </c>
      <c r="F31" s="6"/>
    </row>
    <row r="32" spans="2:6" x14ac:dyDescent="0.3">
      <c r="B32" s="2" t="s">
        <v>119</v>
      </c>
      <c r="C32" s="15" t="s">
        <v>29</v>
      </c>
      <c r="D32" s="15"/>
      <c r="E32" s="21"/>
      <c r="F32" s="6"/>
    </row>
    <row r="33" spans="2:6" x14ac:dyDescent="0.3">
      <c r="B33" s="2" t="s">
        <v>25</v>
      </c>
      <c r="C33" s="15" t="s">
        <v>34</v>
      </c>
      <c r="D33" s="15"/>
      <c r="E33" s="21"/>
      <c r="F33" s="6"/>
    </row>
    <row r="34" spans="2:6" x14ac:dyDescent="0.3">
      <c r="B34" s="4" t="s">
        <v>118</v>
      </c>
      <c r="C34" s="15" t="s">
        <v>62</v>
      </c>
      <c r="D34" s="17"/>
      <c r="E34" s="21"/>
      <c r="F34" s="4"/>
    </row>
    <row r="35" spans="2:6" x14ac:dyDescent="0.3">
      <c r="C35" s="15"/>
      <c r="E35" s="21"/>
    </row>
    <row r="36" spans="2:6" x14ac:dyDescent="0.3">
      <c r="E36" s="21"/>
    </row>
    <row r="37" spans="2:6" x14ac:dyDescent="0.3">
      <c r="E37" s="21"/>
    </row>
    <row r="38" spans="2:6" x14ac:dyDescent="0.3">
      <c r="E38" s="21"/>
    </row>
  </sheetData>
  <autoFilter ref="B1:F34" xr:uid="{00000000-0009-0000-0000-000000000000}"/>
  <sortState xmlns:xlrd2="http://schemas.microsoft.com/office/spreadsheetml/2017/richdata2" ref="B2:F34">
    <sortCondition ref="B34"/>
  </sortState>
  <dataValidations count="1">
    <dataValidation type="list" allowBlank="1" sqref="C2:C35" xr:uid="{6AFA8689-0EA4-49C1-82C8-BEBB766C1131}">
      <formula1>"Pendente,Em cotação,Em negociação,Fechado,Concluído,Cancelado"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10-05-03</vt:lpstr>
      <vt:lpstr>11-07-21</vt:lpstr>
      <vt:lpstr>10-07-04</vt:lpstr>
      <vt:lpstr>05-05-09</vt:lpstr>
      <vt:lpstr>10-06-17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rhuanlucas1001@outlook.com</cp:lastModifiedBy>
  <dcterms:created xsi:type="dcterms:W3CDTF">2026-08-13T17:26:03Z</dcterms:created>
  <dcterms:modified xsi:type="dcterms:W3CDTF">2026-08-27T13:40:32Z</dcterms:modified>
</cp:coreProperties>
</file>